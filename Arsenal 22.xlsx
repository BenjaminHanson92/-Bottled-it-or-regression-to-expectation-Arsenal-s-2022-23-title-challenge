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benha\Desktop\"/>
    </mc:Choice>
  </mc:AlternateContent>
  <xr:revisionPtr revIDLastSave="0" documentId="13_ncr:1_{575FCEBD-3F45-4393-8444-614B3AC8A5D9}" xr6:coauthVersionLast="47" xr6:coauthVersionMax="47" xr10:uidLastSave="{00000000-0000-0000-0000-000000000000}"/>
  <bookViews>
    <workbookView xWindow="-108" yWindow="-108" windowWidth="23256" windowHeight="13896" firstSheet="1" activeTab="4" xr2:uid="{75C53D4E-E47E-4407-84C1-3FD364C8562F}"/>
  </bookViews>
  <sheets>
    <sheet name="Preseason forecasts" sheetId="3" r:id="rId1"/>
    <sheet name="Expected vs Actual points" sheetId="5" r:id="rId2"/>
    <sheet name="Arsenal vs Man City (Feb 2023)" sheetId="6" r:id="rId3"/>
    <sheet name="Expected Goals" sheetId="7" r:id="rId4"/>
    <sheet name="Conclusion" sheetId="8"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5" i="5" l="1"/>
  <c r="Q24" i="5"/>
  <c r="P24" i="5"/>
  <c r="R24" i="5" s="1"/>
  <c r="Q23" i="5"/>
  <c r="P23" i="5"/>
  <c r="R23" i="5" s="1"/>
  <c r="Q22" i="5"/>
  <c r="P22" i="5"/>
  <c r="R22" i="5" s="1"/>
  <c r="R21" i="5"/>
  <c r="Q21" i="5"/>
  <c r="P21" i="5"/>
  <c r="Q20" i="5"/>
  <c r="P20" i="5"/>
  <c r="R20" i="5" s="1"/>
  <c r="Q19" i="5"/>
  <c r="P19" i="5"/>
  <c r="R19" i="5" s="1"/>
  <c r="Q18" i="5"/>
  <c r="P18" i="5"/>
  <c r="R18" i="5" s="1"/>
  <c r="Q17" i="5"/>
  <c r="P17" i="5"/>
  <c r="R17" i="5" s="1"/>
  <c r="Q16" i="5"/>
  <c r="P16" i="5"/>
  <c r="Q15" i="5"/>
  <c r="P15" i="5"/>
  <c r="R15" i="5" s="1"/>
  <c r="Q14" i="5"/>
  <c r="P14" i="5"/>
  <c r="R14" i="5" s="1"/>
  <c r="R13" i="5"/>
  <c r="Q13" i="5"/>
  <c r="P13" i="5"/>
  <c r="Q12" i="5"/>
  <c r="P12" i="5"/>
  <c r="R12" i="5" s="1"/>
  <c r="Q11" i="5"/>
  <c r="P11" i="5"/>
  <c r="R11" i="5" s="1"/>
  <c r="R10" i="5"/>
  <c r="Q10" i="5"/>
  <c r="P10" i="5"/>
  <c r="Q9" i="5"/>
  <c r="P9" i="5"/>
  <c r="R9" i="5" s="1"/>
  <c r="Q8" i="5"/>
  <c r="P8" i="5"/>
  <c r="Q7" i="5"/>
  <c r="P7" i="5"/>
  <c r="R7" i="5" s="1"/>
  <c r="Q6" i="5"/>
  <c r="P6" i="5"/>
  <c r="Q5" i="5"/>
  <c r="P5" i="5"/>
  <c r="R5" i="5" s="1"/>
  <c r="R6" i="5" l="1"/>
  <c r="R16" i="5"/>
  <c r="R8" i="5"/>
  <c r="R25" i="5"/>
</calcChain>
</file>

<file path=xl/sharedStrings.xml><?xml version="1.0" encoding="utf-8"?>
<sst xmlns="http://schemas.openxmlformats.org/spreadsheetml/2006/main" count="55" uniqueCount="33">
  <si>
    <t>Date</t>
  </si>
  <si>
    <t>HomeTeam</t>
  </si>
  <si>
    <t>AwayTeam</t>
  </si>
  <si>
    <t>Crystal Palace</t>
  </si>
  <si>
    <t>Arsenal</t>
  </si>
  <si>
    <t>Fulham</t>
  </si>
  <si>
    <t>Liverpool</t>
  </si>
  <si>
    <t>Bournemouth</t>
  </si>
  <si>
    <t>Aston Villa</t>
  </si>
  <si>
    <t>Leeds</t>
  </si>
  <si>
    <t>Wolves</t>
  </si>
  <si>
    <t>Newcastle</t>
  </si>
  <si>
    <t>Nott'm Forest</t>
  </si>
  <si>
    <t>Tottenham</t>
  </si>
  <si>
    <t>Southampton</t>
  </si>
  <si>
    <t>Chelsea</t>
  </si>
  <si>
    <t>Leicester</t>
  </si>
  <si>
    <t>Brentford</t>
  </si>
  <si>
    <t>Man United</t>
  </si>
  <si>
    <t>Brighton</t>
  </si>
  <si>
    <t>West Ham</t>
  </si>
  <si>
    <t>Actual Points</t>
  </si>
  <si>
    <t>Total</t>
  </si>
  <si>
    <t>Home Goals</t>
  </si>
  <si>
    <t>Away Goals</t>
  </si>
  <si>
    <t>Draw Odds</t>
  </si>
  <si>
    <t>Away Odds</t>
  </si>
  <si>
    <t>Arsenal Win Prob.</t>
  </si>
  <si>
    <t>Expected Points</t>
  </si>
  <si>
    <t>Home Odds*</t>
  </si>
  <si>
    <t>Draw Prob.</t>
  </si>
  <si>
    <t>First 29 Games</t>
  </si>
  <si>
    <t>Last 9 Games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</si>
</sst>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name val="Aptos Narrow"/>
      <family val="2"/>
      <scheme val="minor"/>
    </font>
    <font>
      <b/>
      <sz val="1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79998168889431442"/>
        <bgColor indexed="64"/>
      </patternFill>
    </fill>
    <fill>
      <patternFill patternType="solid">
        <fgColor theme="3" tint="0.89999084444715716"/>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4">
    <xf numFmtId="0" fontId="0" fillId="0" borderId="0" xfId="0"/>
    <xf numFmtId="0" fontId="16" fillId="0" borderId="0" xfId="0" applyFont="1" applyAlignment="1">
      <alignment horizontal="center" vertical="center" wrapText="1"/>
    </xf>
    <xf numFmtId="0" fontId="0" fillId="0" borderId="0" xfId="0" applyAlignment="1">
      <alignment vertical="center" wrapText="1"/>
    </xf>
    <xf numFmtId="10" fontId="0" fillId="0" borderId="0" xfId="0" applyNumberFormat="1" applyAlignment="1">
      <alignment vertical="center" wrapText="1"/>
    </xf>
    <xf numFmtId="0" fontId="18" fillId="33" borderId="0" xfId="0" applyFont="1" applyFill="1"/>
    <xf numFmtId="14" fontId="0" fillId="34" borderId="0" xfId="0" applyNumberFormat="1" applyFill="1" applyAlignment="1">
      <alignment horizontal="center"/>
    </xf>
    <xf numFmtId="0" fontId="0" fillId="34" borderId="0" xfId="0" applyFill="1" applyAlignment="1">
      <alignment horizontal="center"/>
    </xf>
    <xf numFmtId="0" fontId="0" fillId="34" borderId="0" xfId="0" applyFill="1" applyAlignment="1">
      <alignment horizontal="center" vertical="center" wrapText="1"/>
    </xf>
    <xf numFmtId="10" fontId="0" fillId="34" borderId="0" xfId="0" applyNumberFormat="1" applyFill="1" applyAlignment="1">
      <alignment horizontal="center"/>
    </xf>
    <xf numFmtId="2" fontId="0" fillId="34" borderId="0" xfId="0" applyNumberFormat="1" applyFill="1" applyAlignment="1">
      <alignment horizontal="center" vertical="center" wrapText="1"/>
    </xf>
    <xf numFmtId="0" fontId="0" fillId="0" borderId="0" xfId="0" applyAlignment="1">
      <alignment horizontal="center"/>
    </xf>
    <xf numFmtId="0" fontId="16" fillId="33" borderId="0" xfId="0" applyFont="1" applyFill="1" applyAlignment="1">
      <alignment horizontal="center"/>
    </xf>
    <xf numFmtId="2" fontId="16" fillId="33" borderId="0" xfId="0" applyNumberFormat="1" applyFont="1" applyFill="1" applyAlignment="1">
      <alignment horizontal="center"/>
    </xf>
    <xf numFmtId="0" fontId="19"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220980</xdr:colOff>
      <xdr:row>3</xdr:row>
      <xdr:rowOff>144780</xdr:rowOff>
    </xdr:from>
    <xdr:to>
      <xdr:col>7</xdr:col>
      <xdr:colOff>441960</xdr:colOff>
      <xdr:row>20</xdr:row>
      <xdr:rowOff>160020</xdr:rowOff>
    </xdr:to>
    <xdr:sp macro="" textlink="">
      <xdr:nvSpPr>
        <xdr:cNvPr id="2" name="TextBox 1">
          <a:extLst>
            <a:ext uri="{FF2B5EF4-FFF2-40B4-BE49-F238E27FC236}">
              <a16:creationId xmlns:a16="http://schemas.microsoft.com/office/drawing/2014/main" id="{C4B7DABC-180B-7CE6-7C02-5C35AE19F9A0}"/>
            </a:ext>
          </a:extLst>
        </xdr:cNvPr>
        <xdr:cNvSpPr txBox="1"/>
      </xdr:nvSpPr>
      <xdr:spPr>
        <a:xfrm>
          <a:off x="220980" y="693420"/>
          <a:ext cx="4488180" cy="31242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'Bottled it' or regression to expectation?</a:t>
          </a:r>
        </a:p>
        <a:p>
          <a:endParaRPr lang="en-GB" sz="1400" b="1"/>
        </a:p>
        <a:p>
          <a:pPr marL="0" marR="0" lvl="0" indent="0" defTabSz="914400" eaLnBrk="1" fontAlgn="auto" latinLnBrk="0" hangingPunct="1">
            <a:lnSpc>
              <a:spcPct val="100000"/>
            </a:lnSpc>
            <a:spcBef>
              <a:spcPts val="0"/>
            </a:spcBef>
            <a:spcAft>
              <a:spcPts val="0"/>
            </a:spcAft>
            <a:buClrTx/>
            <a:buSzTx/>
            <a:buFontTx/>
            <a:buNone/>
            <a:tabLst/>
            <a:defRPr/>
          </a:pPr>
          <a:r>
            <a:rPr lang="en-GB" sz="1400"/>
            <a:t>Arsenal fell short in the 2022-23 title race after leading comfortably until the final 2 months of the season. They</a:t>
          </a:r>
          <a:r>
            <a:rPr lang="en-GB" sz="1400" baseline="0"/>
            <a:t> led by </a:t>
          </a:r>
          <a:r>
            <a:rPr lang="en-GB" sz="1400">
              <a:solidFill>
                <a:schemeClr val="dk1"/>
              </a:solidFill>
              <a:effectLst/>
              <a:latin typeface="+mn-lt"/>
              <a:ea typeface="+mn-ea"/>
              <a:cs typeface="+mn-cs"/>
            </a:rPr>
            <a:t>8 points after 29 games played, ahead of Man City who had played 28.</a:t>
          </a:r>
          <a:endParaRPr lang="en-GB" sz="1400">
            <a:effectLst/>
          </a:endParaRPr>
        </a:p>
        <a:p>
          <a:r>
            <a:rPr lang="en-GB" sz="1400"/>
            <a:t>A popular</a:t>
          </a:r>
          <a:r>
            <a:rPr lang="en-GB" sz="1400" baseline="0"/>
            <a:t> narrative in the media was that we had seen a </a:t>
          </a:r>
          <a:r>
            <a:rPr lang="en-GB" sz="1400">
              <a:solidFill>
                <a:schemeClr val="dk1"/>
              </a:solidFill>
              <a:effectLst/>
              <a:latin typeface="+mn-lt"/>
              <a:ea typeface="+mn-ea"/>
              <a:cs typeface="+mn-cs"/>
            </a:rPr>
            <a:t>psychological collapse under pressure. But does the evidence support this? From an</a:t>
          </a:r>
          <a:r>
            <a:rPr lang="en-GB" sz="1400" baseline="0">
              <a:solidFill>
                <a:schemeClr val="dk1"/>
              </a:solidFill>
              <a:effectLst/>
              <a:latin typeface="+mn-lt"/>
              <a:ea typeface="+mn-ea"/>
              <a:cs typeface="+mn-cs"/>
            </a:rPr>
            <a:t> empiracle and analytical perspective, could it be that Arsenal were simply </a:t>
          </a:r>
          <a:r>
            <a:rPr lang="en-GB" sz="1400"/>
            <a:t>overhauled by a superior Manchester City  team as the full length of the season unfolded,</a:t>
          </a:r>
          <a:r>
            <a:rPr lang="en-GB" sz="1400" baseline="0"/>
            <a:t> and this was </a:t>
          </a:r>
          <a:r>
            <a:rPr lang="en-GB" sz="1400"/>
            <a:t>a normal regression towards their expected performance level?</a:t>
          </a:r>
        </a:p>
        <a:p>
          <a:endParaRPr lang="en-GB" sz="1400"/>
        </a:p>
      </xdr:txBody>
    </xdr:sp>
    <xdr:clientData/>
  </xdr:twoCellAnchor>
  <xdr:twoCellAnchor editAs="oneCell">
    <xdr:from>
      <xdr:col>10</xdr:col>
      <xdr:colOff>266700</xdr:colOff>
      <xdr:row>11</xdr:row>
      <xdr:rowOff>0</xdr:rowOff>
    </xdr:from>
    <xdr:to>
      <xdr:col>22</xdr:col>
      <xdr:colOff>61576</xdr:colOff>
      <xdr:row>32</xdr:row>
      <xdr:rowOff>23195</xdr:rowOff>
    </xdr:to>
    <xdr:pic>
      <xdr:nvPicPr>
        <xdr:cNvPr id="4" name="Picture 3">
          <a:extLst>
            <a:ext uri="{FF2B5EF4-FFF2-40B4-BE49-F238E27FC236}">
              <a16:creationId xmlns:a16="http://schemas.microsoft.com/office/drawing/2014/main" id="{7C11A5A1-125F-48B1-E022-367BA720EB3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362700" y="2011680"/>
          <a:ext cx="7110076" cy="3863675"/>
        </a:xfrm>
        <a:prstGeom prst="rect">
          <a:avLst/>
        </a:prstGeom>
      </xdr:spPr>
    </xdr:pic>
    <xdr:clientData/>
  </xdr:twoCellAnchor>
  <xdr:twoCellAnchor>
    <xdr:from>
      <xdr:col>9</xdr:col>
      <xdr:colOff>259080</xdr:colOff>
      <xdr:row>0</xdr:row>
      <xdr:rowOff>160020</xdr:rowOff>
    </xdr:from>
    <xdr:to>
      <xdr:col>22</xdr:col>
      <xdr:colOff>579120</xdr:colOff>
      <xdr:row>9</xdr:row>
      <xdr:rowOff>106680</xdr:rowOff>
    </xdr:to>
    <xdr:sp macro="" textlink="">
      <xdr:nvSpPr>
        <xdr:cNvPr id="5" name="TextBox 4">
          <a:extLst>
            <a:ext uri="{FF2B5EF4-FFF2-40B4-BE49-F238E27FC236}">
              <a16:creationId xmlns:a16="http://schemas.microsoft.com/office/drawing/2014/main" id="{D4F27174-05EF-7B8E-9B11-DA75822F13CE}"/>
            </a:ext>
          </a:extLst>
        </xdr:cNvPr>
        <xdr:cNvSpPr txBox="1"/>
      </xdr:nvSpPr>
      <xdr:spPr>
        <a:xfrm>
          <a:off x="5745480" y="160020"/>
          <a:ext cx="8244840" cy="159258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Preseason Predictions</a:t>
          </a:r>
        </a:p>
        <a:p>
          <a:pPr algn="ctr"/>
          <a:endParaRPr lang="en-GB" sz="1100"/>
        </a:p>
        <a:p>
          <a:pPr algn="l"/>
          <a:r>
            <a:rPr lang="en-GB" sz="1200"/>
            <a:t>Below</a:t>
          </a:r>
          <a:r>
            <a:rPr lang="en-GB" sz="1200" baseline="0"/>
            <a:t> is the forecast conducted by sports analysts at ESPN and Transfermarkt for the final 2022-23 season standings. We can see that Arsenal are predicted to finish with 61 points, with a 2% chance of winning the league. By comparison, eventual title rivals Manchester City were predicted to finish with 85 points.</a:t>
          </a:r>
        </a:p>
        <a:p>
          <a:pPr algn="l"/>
          <a:r>
            <a:rPr lang="en-GB" sz="1200" baseline="0"/>
            <a:t>This shows that Arsenal were not seen as title challengers before the season started, and were predicted by experts to finish in the region of 24 points behind.</a:t>
          </a:r>
          <a:endParaRPr lang="en-GB"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137160</xdr:colOff>
      <xdr:row>2</xdr:row>
      <xdr:rowOff>3810</xdr:rowOff>
    </xdr:from>
    <xdr:to>
      <xdr:col>6</xdr:col>
      <xdr:colOff>297180</xdr:colOff>
      <xdr:row>29</xdr:row>
      <xdr:rowOff>91440</xdr:rowOff>
    </xdr:to>
    <mc:AlternateContent xmlns:mc="http://schemas.openxmlformats.org/markup-compatibility/2006">
      <mc:Choice xmlns:a14="http://schemas.microsoft.com/office/drawing/2010/main" Requires="a14">
        <xdr:sp macro="" textlink="">
          <xdr:nvSpPr>
            <xdr:cNvPr id="2" name="TextBox 1">
              <a:extLst>
                <a:ext uri="{FF2B5EF4-FFF2-40B4-BE49-F238E27FC236}">
                  <a16:creationId xmlns:a16="http://schemas.microsoft.com/office/drawing/2014/main" id="{AE7294B6-9EFC-5109-C7BC-D5D26AFCAC82}"/>
                </a:ext>
              </a:extLst>
            </xdr:cNvPr>
            <xdr:cNvSpPr txBox="1"/>
          </xdr:nvSpPr>
          <xdr:spPr>
            <a:xfrm>
              <a:off x="137160" y="369570"/>
              <a:ext cx="3817620" cy="5025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Arsenal's Hot Start</a:t>
              </a:r>
            </a:p>
            <a:p>
              <a:pPr algn="l"/>
              <a:endParaRPr lang="en-GB" sz="1400" b="1"/>
            </a:p>
            <a:p>
              <a:pPr algn="l"/>
              <a:r>
                <a:rPr lang="en-GB" sz="1200" b="0"/>
                <a:t>- I looked</a:t>
              </a:r>
              <a:r>
                <a:rPr lang="en-GB" sz="1200" b="0" baseline="0"/>
                <a:t> at Arsenal's first 10 home games, and first 10 away games to compare their results to the expected results. </a:t>
              </a:r>
            </a:p>
            <a:p>
              <a:pPr algn="l"/>
              <a:r>
                <a:rPr lang="en-GB" sz="1200" b="0" baseline="0"/>
                <a:t>- To produce outcome probabilities for each game I took the prematch odds from Pinnacle and converted them to approximate true prices by removing the typical overround. These were then converted to probabilities.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baseline="0"/>
                <a:t>   </a:t>
              </a:r>
              <a14:m>
                <m:oMath xmlns:m="http://schemas.openxmlformats.org/officeDocument/2006/math">
                  <m:r>
                    <a:rPr lang="en-GB" sz="1200" i="1">
                      <a:solidFill>
                        <a:schemeClr val="dk1"/>
                      </a:solidFill>
                      <a:effectLst/>
                      <a:latin typeface="Cambria Math" panose="02040503050406030204" pitchFamily="18" charset="0"/>
                      <a:ea typeface="+mn-ea"/>
                      <a:cs typeface="+mn-cs"/>
                    </a:rPr>
                    <m:t>𝑝</m:t>
                  </m:r>
                  <m:r>
                    <a:rPr lang="en-GB" sz="1200" i="1">
                      <a:solidFill>
                        <a:schemeClr val="dk1"/>
                      </a:solidFill>
                      <a:effectLst/>
                      <a:latin typeface="Cambria Math" panose="02040503050406030204" pitchFamily="18" charset="0"/>
                      <a:ea typeface="+mn-ea"/>
                      <a:cs typeface="+mn-cs"/>
                    </a:rPr>
                    <m:t>=</m:t>
                  </m:r>
                  <m:f>
                    <m:fPr>
                      <m:ctrlPr>
                        <a:rPr lang="en-GB" sz="1200" i="1">
                          <a:solidFill>
                            <a:schemeClr val="dk1"/>
                          </a:solidFill>
                          <a:effectLst/>
                          <a:latin typeface="Cambria Math" panose="02040503050406030204" pitchFamily="18" charset="0"/>
                          <a:ea typeface="+mn-ea"/>
                          <a:cs typeface="+mn-cs"/>
                        </a:rPr>
                      </m:ctrlPr>
                    </m:fPr>
                    <m:num>
                      <m:r>
                        <a:rPr lang="en-GB" sz="1200" i="1">
                          <a:solidFill>
                            <a:schemeClr val="dk1"/>
                          </a:solidFill>
                          <a:effectLst/>
                          <a:latin typeface="Cambria Math" panose="02040503050406030204" pitchFamily="18" charset="0"/>
                          <a:ea typeface="+mn-ea"/>
                          <a:cs typeface="+mn-cs"/>
                        </a:rPr>
                        <m:t>1</m:t>
                      </m:r>
                    </m:num>
                    <m:den>
                      <m:r>
                        <a:rPr lang="en-GB" sz="1200" i="1">
                          <a:solidFill>
                            <a:schemeClr val="dk1"/>
                          </a:solidFill>
                          <a:effectLst/>
                          <a:latin typeface="Cambria Math" panose="02040503050406030204" pitchFamily="18" charset="0"/>
                          <a:ea typeface="+mn-ea"/>
                          <a:cs typeface="+mn-cs"/>
                        </a:rPr>
                        <m:t>𝑑𝑒𝑐𝑖𝑚𝑎𝑙</m:t>
                      </m:r>
                      <m:r>
                        <a:rPr lang="en-GB" sz="1200" i="1">
                          <a:solidFill>
                            <a:schemeClr val="dk1"/>
                          </a:solidFill>
                          <a:effectLst/>
                          <a:latin typeface="Cambria Math" panose="02040503050406030204" pitchFamily="18" charset="0"/>
                          <a:ea typeface="+mn-ea"/>
                          <a:cs typeface="+mn-cs"/>
                        </a:rPr>
                        <m:t> </m:t>
                      </m:r>
                      <m:r>
                        <a:rPr lang="en-GB" sz="1200" i="1">
                          <a:solidFill>
                            <a:schemeClr val="dk1"/>
                          </a:solidFill>
                          <a:effectLst/>
                          <a:latin typeface="Cambria Math" panose="02040503050406030204" pitchFamily="18" charset="0"/>
                          <a:ea typeface="+mn-ea"/>
                          <a:cs typeface="+mn-cs"/>
                        </a:rPr>
                        <m:t>𝑜𝑑𝑑𝑠</m:t>
                      </m:r>
                    </m:den>
                  </m:f>
                </m:oMath>
              </a14:m>
              <a:endParaRPr lang="en-GB" sz="1200">
                <a:solidFill>
                  <a:schemeClr val="dk1"/>
                </a:solidFill>
                <a:effectLst/>
                <a:latin typeface="+mn-lt"/>
                <a:ea typeface="+mn-ea"/>
                <a:cs typeface="+mn-cs"/>
              </a:endParaRPr>
            </a:p>
            <a:p>
              <a:pPr algn="l"/>
              <a:endParaRPr lang="en-GB" sz="1200" b="0" baseline="0"/>
            </a:p>
            <a:p>
              <a:pPr algn="l"/>
              <a:r>
                <a:rPr lang="en-GB" sz="1200" b="0" baseline="0"/>
                <a:t>Once we know the true probabilities of each result, we can find Arsenal's expected points for each game. </a:t>
              </a:r>
            </a:p>
            <a:p>
              <a:pPr algn="l"/>
              <a:r>
                <a:rPr lang="en-GB" sz="1200" b="0" baseline="0"/>
                <a:t>The formula is: </a:t>
              </a:r>
            </a:p>
            <a:p>
              <a:pPr algn="l"/>
              <a:r>
                <a:rPr lang="en-GB" sz="1200" b="0" i="1" baseline="0"/>
                <a:t>(3 x Arsenal win probability) + (1 x draw probability)</a:t>
              </a:r>
            </a:p>
            <a:p>
              <a:pPr algn="l"/>
              <a:endParaRPr lang="en-GB" sz="1200" b="0" baseline="0"/>
            </a:p>
            <a:p>
              <a:pPr algn="l"/>
              <a:r>
                <a:rPr lang="en-GB" sz="1200" b="0" baseline="0"/>
                <a:t>We can see clearly that Arsenal outperformed bookmakers' expectations by approximately </a:t>
              </a:r>
              <a:r>
                <a:rPr lang="en-GB" sz="1200" b="1" baseline="0"/>
                <a:t>13 points over their first 20 games. </a:t>
              </a:r>
            </a:p>
            <a:p>
              <a:pPr algn="l"/>
              <a:endParaRPr lang="en-GB" sz="1200" b="1" baseline="0"/>
            </a:p>
            <a:p>
              <a:pPr algn="l"/>
              <a:r>
                <a:rPr lang="en-GB" sz="1200" b="0" baseline="0"/>
                <a:t>This is even allowing for the fact that odds thoughout the season did not fully reflect the low preason expectations of Arsenal - as their strong performances would have resulted in shorter odds as the season progressed.</a:t>
              </a:r>
            </a:p>
          </xdr:txBody>
        </xdr:sp>
      </mc:Choice>
      <mc:Fallback>
        <xdr:sp macro="" textlink="">
          <xdr:nvSpPr>
            <xdr:cNvPr id="2" name="TextBox 1">
              <a:extLst>
                <a:ext uri="{FF2B5EF4-FFF2-40B4-BE49-F238E27FC236}">
                  <a16:creationId xmlns:a16="http://schemas.microsoft.com/office/drawing/2014/main" id="{AE7294B6-9EFC-5109-C7BC-D5D26AFCAC82}"/>
                </a:ext>
              </a:extLst>
            </xdr:cNvPr>
            <xdr:cNvSpPr txBox="1"/>
          </xdr:nvSpPr>
          <xdr:spPr>
            <a:xfrm>
              <a:off x="137160" y="369570"/>
              <a:ext cx="3817620" cy="502539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Arsenal's Hot Start</a:t>
              </a:r>
            </a:p>
            <a:p>
              <a:pPr algn="l"/>
              <a:endParaRPr lang="en-GB" sz="1400" b="1"/>
            </a:p>
            <a:p>
              <a:pPr algn="l"/>
              <a:r>
                <a:rPr lang="en-GB" sz="1200" b="0"/>
                <a:t>- I looked</a:t>
              </a:r>
              <a:r>
                <a:rPr lang="en-GB" sz="1200" b="0" baseline="0"/>
                <a:t> at Arsenal's first 10 home games, and first 10 away games to compare their results to the expected results. </a:t>
              </a:r>
            </a:p>
            <a:p>
              <a:pPr algn="l"/>
              <a:r>
                <a:rPr lang="en-GB" sz="1200" b="0" baseline="0"/>
                <a:t>- To produce outcome probabilities for each game I took the prematch odds from Pinnacle and converted them to approximate true prices by removing the typical overround. These were then converted to probabilities. </a:t>
              </a:r>
            </a:p>
            <a:p>
              <a:pPr marL="0" marR="0" lvl="0" indent="0" algn="l" defTabSz="914400" eaLnBrk="1" fontAlgn="auto" latinLnBrk="0" hangingPunct="1">
                <a:lnSpc>
                  <a:spcPct val="100000"/>
                </a:lnSpc>
                <a:spcBef>
                  <a:spcPts val="0"/>
                </a:spcBef>
                <a:spcAft>
                  <a:spcPts val="0"/>
                </a:spcAft>
                <a:buClrTx/>
                <a:buSzTx/>
                <a:buFontTx/>
                <a:buNone/>
                <a:tabLst/>
                <a:defRPr/>
              </a:pPr>
              <a:r>
                <a:rPr lang="en-GB" sz="1200" b="0" baseline="0"/>
                <a:t>   </a:t>
              </a:r>
              <a:r>
                <a:rPr lang="en-GB" sz="1200" i="0">
                  <a:solidFill>
                    <a:schemeClr val="dk1"/>
                  </a:solidFill>
                  <a:effectLst/>
                  <a:latin typeface="Cambria Math" panose="02040503050406030204" pitchFamily="18" charset="0"/>
                  <a:ea typeface="+mn-ea"/>
                  <a:cs typeface="+mn-cs"/>
                </a:rPr>
                <a:t>𝑝=1/(𝑑𝑒𝑐𝑖𝑚𝑎𝑙 𝑜𝑑𝑑𝑠)</a:t>
              </a:r>
              <a:endParaRPr lang="en-GB" sz="1200">
                <a:solidFill>
                  <a:schemeClr val="dk1"/>
                </a:solidFill>
                <a:effectLst/>
                <a:latin typeface="+mn-lt"/>
                <a:ea typeface="+mn-ea"/>
                <a:cs typeface="+mn-cs"/>
              </a:endParaRPr>
            </a:p>
            <a:p>
              <a:pPr algn="l"/>
              <a:endParaRPr lang="en-GB" sz="1200" b="0" baseline="0"/>
            </a:p>
            <a:p>
              <a:pPr algn="l"/>
              <a:r>
                <a:rPr lang="en-GB" sz="1200" b="0" baseline="0"/>
                <a:t>Once we know the true probabilities of each result, we can find Arsenal's expected points for each game. </a:t>
              </a:r>
            </a:p>
            <a:p>
              <a:pPr algn="l"/>
              <a:r>
                <a:rPr lang="en-GB" sz="1200" b="0" baseline="0"/>
                <a:t>The formula is: </a:t>
              </a:r>
            </a:p>
            <a:p>
              <a:pPr algn="l"/>
              <a:r>
                <a:rPr lang="en-GB" sz="1200" b="0" i="1" baseline="0"/>
                <a:t>(3 x Arsenal win probability) + (1 x draw probability)</a:t>
              </a:r>
            </a:p>
            <a:p>
              <a:pPr algn="l"/>
              <a:endParaRPr lang="en-GB" sz="1200" b="0" baseline="0"/>
            </a:p>
            <a:p>
              <a:pPr algn="l"/>
              <a:r>
                <a:rPr lang="en-GB" sz="1200" b="0" baseline="0"/>
                <a:t>We can see clearly that Arsenal outperformed bookmakers' expectations by approximately </a:t>
              </a:r>
              <a:r>
                <a:rPr lang="en-GB" sz="1200" b="1" baseline="0"/>
                <a:t>13 points over their first 20 games. </a:t>
              </a:r>
            </a:p>
            <a:p>
              <a:pPr algn="l"/>
              <a:endParaRPr lang="en-GB" sz="1200" b="1" baseline="0"/>
            </a:p>
            <a:p>
              <a:pPr algn="l"/>
              <a:r>
                <a:rPr lang="en-GB" sz="1200" b="0" baseline="0"/>
                <a:t>This is even allowing for the fact that odds thoughout the season did not fully reflect the low preason expectations of Arsenal - as their strong performances would have resulted in shorter odds as the season progressed.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3</xdr:row>
      <xdr:rowOff>0</xdr:rowOff>
    </xdr:from>
    <xdr:to>
      <xdr:col>21</xdr:col>
      <xdr:colOff>404476</xdr:colOff>
      <xdr:row>27</xdr:row>
      <xdr:rowOff>15622</xdr:rowOff>
    </xdr:to>
    <xdr:pic>
      <xdr:nvPicPr>
        <xdr:cNvPr id="2" name="Picture 1">
          <a:extLst>
            <a:ext uri="{FF2B5EF4-FFF2-40B4-BE49-F238E27FC236}">
              <a16:creationId xmlns:a16="http://schemas.microsoft.com/office/drawing/2014/main" id="{61A23565-2853-0972-A573-DB0218F4BBA9}"/>
            </a:ext>
          </a:extLst>
        </xdr:cNvPr>
        <xdr:cNvPicPr>
          <a:picLocks noChangeAspect="1"/>
        </xdr:cNvPicPr>
      </xdr:nvPicPr>
      <xdr:blipFill>
        <a:blip xmlns:r="http://schemas.openxmlformats.org/officeDocument/2006/relationships" r:embed="rId1"/>
        <a:stretch>
          <a:fillRect/>
        </a:stretch>
      </xdr:blipFill>
      <xdr:spPr>
        <a:xfrm>
          <a:off x="6096000" y="548640"/>
          <a:ext cx="7110076" cy="4404742"/>
        </a:xfrm>
        <a:prstGeom prst="rect">
          <a:avLst/>
        </a:prstGeom>
      </xdr:spPr>
    </xdr:pic>
    <xdr:clientData/>
  </xdr:twoCellAnchor>
  <xdr:twoCellAnchor>
    <xdr:from>
      <xdr:col>0</xdr:col>
      <xdr:colOff>350520</xdr:colOff>
      <xdr:row>1</xdr:row>
      <xdr:rowOff>60960</xdr:rowOff>
    </xdr:from>
    <xdr:to>
      <xdr:col>9</xdr:col>
      <xdr:colOff>228600</xdr:colOff>
      <xdr:row>24</xdr:row>
      <xdr:rowOff>152400</xdr:rowOff>
    </xdr:to>
    <xdr:sp macro="" textlink="">
      <xdr:nvSpPr>
        <xdr:cNvPr id="4" name="TextBox 3">
          <a:extLst>
            <a:ext uri="{FF2B5EF4-FFF2-40B4-BE49-F238E27FC236}">
              <a16:creationId xmlns:a16="http://schemas.microsoft.com/office/drawing/2014/main" id="{43625182-B98F-31B1-D30F-30D5C0863082}"/>
            </a:ext>
          </a:extLst>
        </xdr:cNvPr>
        <xdr:cNvSpPr txBox="1"/>
      </xdr:nvSpPr>
      <xdr:spPr>
        <a:xfrm>
          <a:off x="350520" y="243840"/>
          <a:ext cx="5364480" cy="4297680"/>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400" b="1"/>
            <a:t>Head to Head</a:t>
          </a:r>
        </a:p>
        <a:p>
          <a:endParaRPr lang="en-GB" sz="1100"/>
        </a:p>
        <a:p>
          <a:r>
            <a:rPr lang="en-GB" sz="1200"/>
            <a:t>Arsenal played</a:t>
          </a:r>
          <a:r>
            <a:rPr lang="en-GB" sz="1200" baseline="0"/>
            <a:t> Man City at home on 15th February 2023. Going into the game, Arsenal led City by 3 points, with one game in hand. </a:t>
          </a:r>
        </a:p>
        <a:p>
          <a:r>
            <a:rPr lang="en-GB" sz="1200" baseline="0"/>
            <a:t>Assuming two teams are equally matched, the home team theoretically has approximately a 40-45% chance of winning of winning a game in the premier league. But if we look at the decimal odds (again with overround removed):  </a:t>
          </a:r>
        </a:p>
        <a:p>
          <a:r>
            <a:rPr lang="en-GB" sz="1200" baseline="0"/>
            <a:t>Arsenal 3.05	Draw 3.5          Man City 2.46</a:t>
          </a:r>
        </a:p>
        <a:p>
          <a:endParaRPr lang="en-GB" sz="1200" baseline="0"/>
        </a:p>
        <a:p>
          <a:r>
            <a:rPr lang="en-GB" sz="1200" baseline="0"/>
            <a:t>Arsenal are given less than a 33% chance of winning. City are favourites in the game with about a 39% chance of winning. </a:t>
          </a:r>
        </a:p>
        <a:p>
          <a:endParaRPr lang="en-GB" sz="1200" baseline="0"/>
        </a:p>
        <a:p>
          <a:r>
            <a:rPr lang="en-GB" sz="1200" baseline="0"/>
            <a:t>Analysis shown on the left from analysts ar SportsMole gives Man City even greater supremacy in the game.</a:t>
          </a:r>
        </a:p>
        <a:p>
          <a:endParaRPr lang="en-GB" sz="1200" baseline="0"/>
        </a:p>
        <a:p>
          <a:r>
            <a:rPr lang="en-GB" sz="1200" baseline="0"/>
            <a:t>This shows that even after their very strong start to the season, and being top of the standings after 21 games, Arsenal were still underdogs in a home game against their title rivals. </a:t>
          </a:r>
        </a:p>
        <a:p>
          <a:endParaRPr lang="en-GB" sz="1200" baseline="0"/>
        </a:p>
        <a:p>
          <a:r>
            <a:rPr lang="en-GB" sz="1200" baseline="0"/>
            <a:t>This does not suggest a team that collapsed under pressure, but one that could only overperform its true strength for so long. </a:t>
          </a:r>
          <a:endParaRPr lang="en-GB" sz="12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22860</xdr:colOff>
      <xdr:row>2</xdr:row>
      <xdr:rowOff>134144</xdr:rowOff>
    </xdr:from>
    <xdr:to>
      <xdr:col>23</xdr:col>
      <xdr:colOff>525780</xdr:colOff>
      <xdr:row>11</xdr:row>
      <xdr:rowOff>129540</xdr:rowOff>
    </xdr:to>
    <xdr:pic>
      <xdr:nvPicPr>
        <xdr:cNvPr id="2" name="Picture 1">
          <a:extLst>
            <a:ext uri="{FF2B5EF4-FFF2-40B4-BE49-F238E27FC236}">
              <a16:creationId xmlns:a16="http://schemas.microsoft.com/office/drawing/2014/main" id="{A4BDDDA5-0310-BA7D-5C4D-64AB8563A14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99660" y="499904"/>
          <a:ext cx="9646920" cy="1641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9</xdr:col>
      <xdr:colOff>53340</xdr:colOff>
      <xdr:row>16</xdr:row>
      <xdr:rowOff>143034</xdr:rowOff>
    </xdr:from>
    <xdr:to>
      <xdr:col>22</xdr:col>
      <xdr:colOff>411480</xdr:colOff>
      <xdr:row>27</xdr:row>
      <xdr:rowOff>91439</xdr:rowOff>
    </xdr:to>
    <xdr:pic>
      <xdr:nvPicPr>
        <xdr:cNvPr id="5" name="Picture 4">
          <a:extLst>
            <a:ext uri="{FF2B5EF4-FFF2-40B4-BE49-F238E27FC236}">
              <a16:creationId xmlns:a16="http://schemas.microsoft.com/office/drawing/2014/main" id="{8110F3D7-B95A-EB77-3BF8-3F1C85CB9E7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39740" y="3069114"/>
          <a:ext cx="8282940" cy="196008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228600</xdr:colOff>
      <xdr:row>1</xdr:row>
      <xdr:rowOff>45720</xdr:rowOff>
    </xdr:from>
    <xdr:to>
      <xdr:col>7</xdr:col>
      <xdr:colOff>464820</xdr:colOff>
      <xdr:row>23</xdr:row>
      <xdr:rowOff>68580</xdr:rowOff>
    </xdr:to>
    <xdr:sp macro="" textlink="">
      <xdr:nvSpPr>
        <xdr:cNvPr id="6" name="TextBox 5">
          <a:extLst>
            <a:ext uri="{FF2B5EF4-FFF2-40B4-BE49-F238E27FC236}">
              <a16:creationId xmlns:a16="http://schemas.microsoft.com/office/drawing/2014/main" id="{6BFEE038-8863-7F81-1A8E-60D6465E8974}"/>
            </a:ext>
          </a:extLst>
        </xdr:cNvPr>
        <xdr:cNvSpPr txBox="1"/>
      </xdr:nvSpPr>
      <xdr:spPr>
        <a:xfrm>
          <a:off x="228600" y="228600"/>
          <a:ext cx="4503420" cy="421386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t>Expected</a:t>
          </a:r>
          <a:r>
            <a:rPr lang="en-GB" sz="1600" b="1" baseline="0"/>
            <a:t> Goals form</a:t>
          </a:r>
        </a:p>
        <a:p>
          <a:endParaRPr lang="en-GB" sz="1200" baseline="0"/>
        </a:p>
        <a:p>
          <a:r>
            <a:rPr lang="en-GB" sz="1200" baseline="0"/>
            <a:t>Expected goals (xG) has become a well know stat in recent seasons. It is an imperfect, but useful, indicator of match dominance that measure the quality of chances created by each team. </a:t>
          </a:r>
        </a:p>
        <a:p>
          <a:endParaRPr lang="en-GB" sz="1200" baseline="0"/>
        </a:p>
        <a:p>
          <a:r>
            <a:rPr lang="en-GB" sz="1200" baseline="0"/>
            <a:t>I have drawn two important observations about Arsenal's season using xG. </a:t>
          </a:r>
        </a:p>
        <a:p>
          <a:endParaRPr lang="en-GB" sz="1200" baseline="0"/>
        </a:p>
        <a:p>
          <a:r>
            <a:rPr lang="en-GB" sz="1200" baseline="0"/>
            <a:t>1. They played the majority of the season very strongly by xG, although still significantly less strongly than Man City. They had a Xg of +30.8 after 29 games, behind City's 37.4. </a:t>
          </a:r>
        </a:p>
        <a:p>
          <a:r>
            <a:rPr lang="en-GB" sz="1200" baseline="0"/>
            <a:t>This shows that despite building an 8 points lead in the standings, Arsenal were performing less strongly than City by expected goals. This suggests that they would fall behind after a large enough sample size of games, where the randomness of chance to goal conversion would be less of a factor.</a:t>
          </a:r>
        </a:p>
        <a:p>
          <a:endParaRPr lang="en-GB" sz="1200" baseline="0"/>
        </a:p>
        <a:p>
          <a:r>
            <a:rPr lang="en-GB" sz="1200" baseline="0"/>
            <a:t>2. Arsenal's xG sank to just +1.9 over the final 9 games - suggesting a significant drop in form. This appears to be a point in favour of the 'bottled it' hypothesis. </a:t>
          </a:r>
          <a:endParaRPr lang="en-GB" sz="12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411480</xdr:colOff>
      <xdr:row>1</xdr:row>
      <xdr:rowOff>137160</xdr:rowOff>
    </xdr:from>
    <xdr:to>
      <xdr:col>8</xdr:col>
      <xdr:colOff>160020</xdr:colOff>
      <xdr:row>19</xdr:row>
      <xdr:rowOff>91440</xdr:rowOff>
    </xdr:to>
    <xdr:sp macro="" textlink="">
      <xdr:nvSpPr>
        <xdr:cNvPr id="2" name="TextBox 1">
          <a:extLst>
            <a:ext uri="{FF2B5EF4-FFF2-40B4-BE49-F238E27FC236}">
              <a16:creationId xmlns:a16="http://schemas.microsoft.com/office/drawing/2014/main" id="{721B584B-6DB5-9920-9CA9-7EDF9419EED8}"/>
            </a:ext>
          </a:extLst>
        </xdr:cNvPr>
        <xdr:cNvSpPr txBox="1"/>
      </xdr:nvSpPr>
      <xdr:spPr>
        <a:xfrm>
          <a:off x="411480" y="320040"/>
          <a:ext cx="4625340" cy="324612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baseline="0">
              <a:solidFill>
                <a:schemeClr val="dk1"/>
              </a:solidFill>
              <a:effectLst/>
              <a:latin typeface="+mn-lt"/>
              <a:ea typeface="+mn-ea"/>
              <a:cs typeface="+mn-cs"/>
            </a:rPr>
            <a:t>I argue that Arsenal's downturn was not particularly remarkable, especially for a team that had previously been way ahead of expectations, had a thin squad, and suffered a key injury to William Saliba. The randomness of indivual games, coupled with injuries, individual errors etc, can lead to a cluster of bad results.</a:t>
          </a:r>
        </a:p>
        <a:p>
          <a:endParaRPr lang="en-GB" sz="1200">
            <a:effectLst/>
          </a:endParaRPr>
        </a:p>
        <a:p>
          <a:r>
            <a:rPr lang="en-GB" sz="1200" baseline="0">
              <a:solidFill>
                <a:schemeClr val="dk1"/>
              </a:solidFill>
              <a:effectLst/>
              <a:latin typeface="+mn-lt"/>
              <a:ea typeface="+mn-ea"/>
              <a:cs typeface="+mn-cs"/>
            </a:rPr>
            <a:t>This season (2025-25) for example, Aston Villa will finish in the champions league positions. But other than a run of 12 wins in 13 games in October-December (shown on the right), their results have been below average. We do not need to find specific reasons for this. Probably, none exist. This is simply the nature of results though the course of a season. </a:t>
          </a:r>
        </a:p>
        <a:p>
          <a:endParaRPr lang="en-GB" sz="1200" baseline="0">
            <a:solidFill>
              <a:schemeClr val="dk1"/>
            </a:solidFill>
            <a:effectLst/>
            <a:latin typeface="+mn-lt"/>
            <a:ea typeface="+mn-ea"/>
            <a:cs typeface="+mn-cs"/>
          </a:endParaRPr>
        </a:p>
        <a:p>
          <a:r>
            <a:rPr lang="en-GB" sz="1200" baseline="0">
              <a:solidFill>
                <a:schemeClr val="dk1"/>
              </a:solidFill>
              <a:effectLst/>
              <a:latin typeface="+mn-lt"/>
              <a:ea typeface="+mn-ea"/>
              <a:cs typeface="+mn-cs"/>
            </a:rPr>
            <a:t>A team's true level emerges more clearly of the the full course of a 38 game season. Which is what happened in the case of Arsenal in 2022-23</a:t>
          </a:r>
          <a:endParaRPr lang="en-GB" sz="1200">
            <a:effectLst/>
          </a:endParaRPr>
        </a:p>
        <a:p>
          <a:endParaRPr lang="en-GB" sz="1100"/>
        </a:p>
      </xdr:txBody>
    </xdr:sp>
    <xdr:clientData/>
  </xdr:twoCellAnchor>
  <xdr:twoCellAnchor editAs="oneCell">
    <xdr:from>
      <xdr:col>9</xdr:col>
      <xdr:colOff>388619</xdr:colOff>
      <xdr:row>1</xdr:row>
      <xdr:rowOff>144780</xdr:rowOff>
    </xdr:from>
    <xdr:to>
      <xdr:col>22</xdr:col>
      <xdr:colOff>6872</xdr:colOff>
      <xdr:row>20</xdr:row>
      <xdr:rowOff>15240</xdr:rowOff>
    </xdr:to>
    <xdr:pic>
      <xdr:nvPicPr>
        <xdr:cNvPr id="3" name="Picture 2">
          <a:extLst>
            <a:ext uri="{FF2B5EF4-FFF2-40B4-BE49-F238E27FC236}">
              <a16:creationId xmlns:a16="http://schemas.microsoft.com/office/drawing/2014/main" id="{C8D98D8B-6D9F-7138-D097-DE4E021185C9}"/>
            </a:ext>
          </a:extLst>
        </xdr:cNvPr>
        <xdr:cNvPicPr>
          <a:picLocks noChangeAspect="1"/>
        </xdr:cNvPicPr>
      </xdr:nvPicPr>
      <xdr:blipFill>
        <a:blip xmlns:r="http://schemas.openxmlformats.org/officeDocument/2006/relationships" r:embed="rId1"/>
        <a:stretch>
          <a:fillRect/>
        </a:stretch>
      </xdr:blipFill>
      <xdr:spPr>
        <a:xfrm>
          <a:off x="5875019" y="327660"/>
          <a:ext cx="7543053" cy="334518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C46A6-6EE1-483E-8191-B4428512CC42}">
  <dimension ref="B12:L31"/>
  <sheetViews>
    <sheetView workbookViewId="0">
      <selection activeCell="I23" sqref="I23"/>
    </sheetView>
  </sheetViews>
  <sheetFormatPr defaultRowHeight="14.4" x14ac:dyDescent="0.3"/>
  <sheetData>
    <row r="12" spans="2:4" x14ac:dyDescent="0.3">
      <c r="B12" s="2"/>
      <c r="C12" s="2"/>
      <c r="D12" s="2"/>
    </row>
    <row r="13" spans="2:4" x14ac:dyDescent="0.3">
      <c r="B13" s="2"/>
      <c r="C13" s="2"/>
      <c r="D13" s="2"/>
    </row>
    <row r="14" spans="2:4" x14ac:dyDescent="0.3">
      <c r="B14" s="2"/>
      <c r="C14" s="2"/>
      <c r="D14" s="2"/>
    </row>
    <row r="15" spans="2:4" x14ac:dyDescent="0.3">
      <c r="B15" s="2"/>
      <c r="C15" s="2"/>
      <c r="D15" s="2"/>
    </row>
    <row r="16" spans="2:4" x14ac:dyDescent="0.3">
      <c r="B16" s="2"/>
      <c r="C16" s="2"/>
      <c r="D16" s="2"/>
    </row>
    <row r="17" spans="2:12" x14ac:dyDescent="0.3">
      <c r="B17" s="2"/>
      <c r="C17" s="2"/>
      <c r="D17" s="2"/>
    </row>
    <row r="18" spans="2:12" x14ac:dyDescent="0.3">
      <c r="B18" s="2"/>
      <c r="C18" s="2"/>
      <c r="D18" s="2"/>
    </row>
    <row r="19" spans="2:12" x14ac:dyDescent="0.3">
      <c r="B19" s="2"/>
      <c r="C19" s="2"/>
      <c r="D19" s="2"/>
    </row>
    <row r="20" spans="2:12" x14ac:dyDescent="0.3">
      <c r="B20" s="2"/>
      <c r="C20" s="2"/>
      <c r="D20" s="2"/>
    </row>
    <row r="21" spans="2:12" x14ac:dyDescent="0.3">
      <c r="B21" s="2"/>
      <c r="C21" s="2"/>
      <c r="D21" s="2"/>
      <c r="H21" s="1"/>
      <c r="I21" s="1"/>
      <c r="J21" s="1"/>
      <c r="K21" s="1"/>
      <c r="L21" s="1"/>
    </row>
    <row r="22" spans="2:12" x14ac:dyDescent="0.3">
      <c r="H22" s="2"/>
      <c r="I22" s="2"/>
      <c r="J22" s="2"/>
      <c r="K22" s="2"/>
      <c r="L22" s="3"/>
    </row>
    <row r="23" spans="2:12" x14ac:dyDescent="0.3">
      <c r="H23" s="2"/>
      <c r="I23" s="2"/>
      <c r="J23" s="2"/>
      <c r="K23" s="2"/>
      <c r="L23" s="3"/>
    </row>
    <row r="24" spans="2:12" x14ac:dyDescent="0.3">
      <c r="H24" s="2"/>
      <c r="I24" s="2"/>
      <c r="J24" s="2"/>
      <c r="K24" s="2"/>
      <c r="L24" s="3"/>
    </row>
    <row r="25" spans="2:12" x14ac:dyDescent="0.3">
      <c r="H25" s="2"/>
      <c r="I25" s="2"/>
      <c r="J25" s="2"/>
      <c r="K25" s="2"/>
      <c r="L25" s="3"/>
    </row>
    <row r="26" spans="2:12" x14ac:dyDescent="0.3">
      <c r="H26" s="2"/>
      <c r="I26" s="2"/>
      <c r="J26" s="2"/>
      <c r="K26" s="2"/>
      <c r="L26" s="3"/>
    </row>
    <row r="27" spans="2:12" x14ac:dyDescent="0.3">
      <c r="H27" s="2"/>
      <c r="I27" s="2"/>
      <c r="J27" s="2"/>
      <c r="K27" s="2"/>
      <c r="L27" s="3"/>
    </row>
    <row r="28" spans="2:12" x14ac:dyDescent="0.3">
      <c r="H28" s="2"/>
      <c r="I28" s="2"/>
      <c r="J28" s="2"/>
      <c r="K28" s="2"/>
      <c r="L28" s="3"/>
    </row>
    <row r="29" spans="2:12" x14ac:dyDescent="0.3">
      <c r="H29" s="2"/>
      <c r="I29" s="2"/>
      <c r="J29" s="2"/>
      <c r="K29" s="2"/>
      <c r="L29" s="3"/>
    </row>
    <row r="30" spans="2:12" x14ac:dyDescent="0.3">
      <c r="H30" s="2"/>
      <c r="I30" s="2"/>
      <c r="J30" s="2"/>
      <c r="K30" s="2"/>
      <c r="L30" s="3"/>
    </row>
    <row r="31" spans="2:12" x14ac:dyDescent="0.3">
      <c r="H31" s="2"/>
      <c r="I31" s="2"/>
      <c r="J31" s="2"/>
      <c r="K31" s="2"/>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B0EE3-CC74-4EAE-A64F-519FC803C261}">
  <dimension ref="H4:S25"/>
  <sheetViews>
    <sheetView topLeftCell="A2" workbookViewId="0">
      <selection activeCell="K30" sqref="K30"/>
    </sheetView>
  </sheetViews>
  <sheetFormatPr defaultRowHeight="14.4" x14ac:dyDescent="0.3"/>
  <cols>
    <col min="8" max="8" width="10.33203125" bestFit="1" customWidth="1"/>
    <col min="9" max="9" width="12.44140625" bestFit="1" customWidth="1"/>
    <col min="10" max="10" width="11.77734375" bestFit="1" customWidth="1"/>
    <col min="11" max="11" width="11.109375" bestFit="1" customWidth="1"/>
    <col min="12" max="12" width="10.44140625" bestFit="1" customWidth="1"/>
    <col min="13" max="13" width="11.77734375" bestFit="1" customWidth="1"/>
    <col min="14" max="14" width="10" bestFit="1" customWidth="1"/>
    <col min="15" max="15" width="10.109375" bestFit="1" customWidth="1"/>
    <col min="16" max="16" width="15.6640625" bestFit="1" customWidth="1"/>
    <col min="17" max="17" width="10.5546875" customWidth="1"/>
    <col min="18" max="18" width="14.5546875" customWidth="1"/>
    <col min="19" max="19" width="12.33203125" customWidth="1"/>
  </cols>
  <sheetData>
    <row r="4" spans="8:19" x14ac:dyDescent="0.3">
      <c r="H4" s="4" t="s">
        <v>0</v>
      </c>
      <c r="I4" s="4" t="s">
        <v>1</v>
      </c>
      <c r="J4" s="4" t="s">
        <v>2</v>
      </c>
      <c r="K4" s="4" t="s">
        <v>23</v>
      </c>
      <c r="L4" s="4" t="s">
        <v>24</v>
      </c>
      <c r="M4" s="4" t="s">
        <v>29</v>
      </c>
      <c r="N4" s="4" t="s">
        <v>25</v>
      </c>
      <c r="O4" s="4" t="s">
        <v>26</v>
      </c>
      <c r="P4" s="4" t="s">
        <v>27</v>
      </c>
      <c r="Q4" s="4" t="s">
        <v>30</v>
      </c>
      <c r="R4" s="4" t="s">
        <v>28</v>
      </c>
      <c r="S4" s="4" t="s">
        <v>21</v>
      </c>
    </row>
    <row r="5" spans="8:19" x14ac:dyDescent="0.3">
      <c r="H5" s="5">
        <v>44786</v>
      </c>
      <c r="I5" s="6" t="s">
        <v>4</v>
      </c>
      <c r="J5" s="6" t="s">
        <v>16</v>
      </c>
      <c r="K5" s="6">
        <v>4</v>
      </c>
      <c r="L5" s="6">
        <v>2</v>
      </c>
      <c r="M5" s="7">
        <v>1.62</v>
      </c>
      <c r="N5" s="7">
        <v>4.4400000000000004</v>
      </c>
      <c r="O5" s="7">
        <v>6.36</v>
      </c>
      <c r="P5" s="8">
        <f>1/M5</f>
        <v>0.61728395061728392</v>
      </c>
      <c r="Q5" s="8">
        <f>1/N5</f>
        <v>0.2252252252252252</v>
      </c>
      <c r="R5" s="9">
        <f>SUM(P5*3)+(Q5)</f>
        <v>2.0770770770770768</v>
      </c>
      <c r="S5" s="6">
        <v>3</v>
      </c>
    </row>
    <row r="6" spans="8:19" x14ac:dyDescent="0.3">
      <c r="H6" s="5">
        <v>44800</v>
      </c>
      <c r="I6" s="6" t="s">
        <v>4</v>
      </c>
      <c r="J6" s="6" t="s">
        <v>5</v>
      </c>
      <c r="K6" s="6">
        <v>2</v>
      </c>
      <c r="L6" s="6">
        <v>1</v>
      </c>
      <c r="M6" s="7">
        <v>1.37</v>
      </c>
      <c r="N6" s="7">
        <v>6.02</v>
      </c>
      <c r="O6" s="7">
        <v>10.07</v>
      </c>
      <c r="P6" s="8">
        <f>1/M6</f>
        <v>0.72992700729927007</v>
      </c>
      <c r="Q6" s="8">
        <f t="shared" ref="Q6:Q24" si="0">1/N6</f>
        <v>0.16611295681063123</v>
      </c>
      <c r="R6" s="9">
        <f t="shared" ref="R6:R24" si="1">SUM(P6*3)+(Q6)</f>
        <v>2.3558939787084414</v>
      </c>
      <c r="S6" s="6">
        <v>3</v>
      </c>
    </row>
    <row r="7" spans="8:19" x14ac:dyDescent="0.3">
      <c r="H7" s="5">
        <v>44804</v>
      </c>
      <c r="I7" s="6" t="s">
        <v>4</v>
      </c>
      <c r="J7" s="6" t="s">
        <v>8</v>
      </c>
      <c r="K7" s="6">
        <v>2</v>
      </c>
      <c r="L7" s="6">
        <v>1</v>
      </c>
      <c r="M7" s="7">
        <v>1.53</v>
      </c>
      <c r="N7" s="7">
        <v>4.7699999999999996</v>
      </c>
      <c r="O7" s="7">
        <v>7.11</v>
      </c>
      <c r="P7" s="8">
        <f>1/M7</f>
        <v>0.65359477124183007</v>
      </c>
      <c r="Q7" s="8">
        <f t="shared" si="0"/>
        <v>0.20964360587002098</v>
      </c>
      <c r="R7" s="9">
        <f t="shared" si="1"/>
        <v>2.1704279195955114</v>
      </c>
      <c r="S7" s="6">
        <v>3</v>
      </c>
    </row>
    <row r="8" spans="8:19" x14ac:dyDescent="0.3">
      <c r="H8" s="5">
        <v>44835</v>
      </c>
      <c r="I8" s="6" t="s">
        <v>4</v>
      </c>
      <c r="J8" s="6" t="s">
        <v>13</v>
      </c>
      <c r="K8" s="6">
        <v>3</v>
      </c>
      <c r="L8" s="6">
        <v>1</v>
      </c>
      <c r="M8" s="7">
        <v>2.2000000000000002</v>
      </c>
      <c r="N8" s="7">
        <v>3.72</v>
      </c>
      <c r="O8" s="7">
        <v>3.62</v>
      </c>
      <c r="P8" s="8">
        <f>1/M8</f>
        <v>0.45454545454545453</v>
      </c>
      <c r="Q8" s="8">
        <f t="shared" si="0"/>
        <v>0.26881720430107525</v>
      </c>
      <c r="R8" s="9">
        <f t="shared" si="1"/>
        <v>1.6324535679374388</v>
      </c>
      <c r="S8" s="6">
        <v>3</v>
      </c>
    </row>
    <row r="9" spans="8:19" x14ac:dyDescent="0.3">
      <c r="H9" s="5">
        <v>44843</v>
      </c>
      <c r="I9" s="6" t="s">
        <v>4</v>
      </c>
      <c r="J9" s="6" t="s">
        <v>6</v>
      </c>
      <c r="K9" s="6">
        <v>3</v>
      </c>
      <c r="L9" s="6">
        <v>2</v>
      </c>
      <c r="M9" s="7">
        <v>2.76</v>
      </c>
      <c r="N9" s="7">
        <v>3.72</v>
      </c>
      <c r="O9" s="7">
        <v>2.75</v>
      </c>
      <c r="P9" s="8">
        <f>1/M9</f>
        <v>0.3623188405797102</v>
      </c>
      <c r="Q9" s="8">
        <f t="shared" si="0"/>
        <v>0.26881720430107525</v>
      </c>
      <c r="R9" s="9">
        <f t="shared" si="1"/>
        <v>1.3557737260402059</v>
      </c>
      <c r="S9" s="6">
        <v>3</v>
      </c>
    </row>
    <row r="10" spans="8:19" x14ac:dyDescent="0.3">
      <c r="H10" s="5">
        <v>44864</v>
      </c>
      <c r="I10" s="6" t="s">
        <v>4</v>
      </c>
      <c r="J10" s="6" t="s">
        <v>12</v>
      </c>
      <c r="K10" s="6">
        <v>5</v>
      </c>
      <c r="L10" s="6">
        <v>0</v>
      </c>
      <c r="M10" s="7">
        <v>1.23</v>
      </c>
      <c r="N10" s="7">
        <v>7.71</v>
      </c>
      <c r="O10" s="7">
        <v>17.559999999999999</v>
      </c>
      <c r="P10" s="8">
        <f>1/M10</f>
        <v>0.81300813008130079</v>
      </c>
      <c r="Q10" s="8">
        <f t="shared" si="0"/>
        <v>0.1297016861219196</v>
      </c>
      <c r="R10" s="9">
        <f t="shared" si="1"/>
        <v>2.568726076365822</v>
      </c>
      <c r="S10" s="6">
        <v>3</v>
      </c>
    </row>
    <row r="11" spans="8:19" x14ac:dyDescent="0.3">
      <c r="H11" s="5">
        <v>44921</v>
      </c>
      <c r="I11" s="6" t="s">
        <v>4</v>
      </c>
      <c r="J11" s="6" t="s">
        <v>20</v>
      </c>
      <c r="K11" s="6">
        <v>3</v>
      </c>
      <c r="L11" s="6">
        <v>1</v>
      </c>
      <c r="M11" s="7">
        <v>1.56</v>
      </c>
      <c r="N11" s="7">
        <v>4.59</v>
      </c>
      <c r="O11" s="7">
        <v>7.02</v>
      </c>
      <c r="P11" s="8">
        <f>1/M11</f>
        <v>0.64102564102564097</v>
      </c>
      <c r="Q11" s="8">
        <f t="shared" si="0"/>
        <v>0.2178649237472767</v>
      </c>
      <c r="R11" s="9">
        <f t="shared" si="1"/>
        <v>2.1409418468241994</v>
      </c>
      <c r="S11" s="6">
        <v>3</v>
      </c>
    </row>
    <row r="12" spans="8:19" x14ac:dyDescent="0.3">
      <c r="H12" s="5">
        <v>44929</v>
      </c>
      <c r="I12" s="6" t="s">
        <v>4</v>
      </c>
      <c r="J12" s="6" t="s">
        <v>11</v>
      </c>
      <c r="K12" s="6">
        <v>0</v>
      </c>
      <c r="L12" s="6">
        <v>0</v>
      </c>
      <c r="M12" s="7">
        <v>1.89</v>
      </c>
      <c r="N12" s="7">
        <v>4.0199999999999996</v>
      </c>
      <c r="O12" s="7">
        <v>4.55</v>
      </c>
      <c r="P12" s="8">
        <f>1/M12</f>
        <v>0.52910052910052918</v>
      </c>
      <c r="Q12" s="8">
        <f t="shared" si="0"/>
        <v>0.24875621890547267</v>
      </c>
      <c r="R12" s="9">
        <f t="shared" si="1"/>
        <v>1.8360578062070601</v>
      </c>
      <c r="S12" s="6">
        <v>1</v>
      </c>
    </row>
    <row r="13" spans="8:19" x14ac:dyDescent="0.3">
      <c r="H13" s="5">
        <v>44948</v>
      </c>
      <c r="I13" s="6" t="s">
        <v>4</v>
      </c>
      <c r="J13" s="6" t="s">
        <v>18</v>
      </c>
      <c r="K13" s="6">
        <v>3</v>
      </c>
      <c r="L13" s="6">
        <v>2</v>
      </c>
      <c r="M13" s="7">
        <v>1.94</v>
      </c>
      <c r="N13" s="7">
        <v>4.04</v>
      </c>
      <c r="O13" s="7">
        <v>4.3</v>
      </c>
      <c r="P13" s="8">
        <f>1/M13</f>
        <v>0.51546391752577325</v>
      </c>
      <c r="Q13" s="8">
        <f t="shared" si="0"/>
        <v>0.24752475247524752</v>
      </c>
      <c r="R13" s="9">
        <f t="shared" si="1"/>
        <v>1.7939165050525674</v>
      </c>
      <c r="S13" s="6">
        <v>3</v>
      </c>
    </row>
    <row r="14" spans="8:19" x14ac:dyDescent="0.3">
      <c r="H14" s="5">
        <v>44968</v>
      </c>
      <c r="I14" s="6" t="s">
        <v>4</v>
      </c>
      <c r="J14" s="6" t="s">
        <v>17</v>
      </c>
      <c r="K14" s="6">
        <v>1</v>
      </c>
      <c r="L14" s="6">
        <v>1</v>
      </c>
      <c r="M14" s="7">
        <v>1.5</v>
      </c>
      <c r="N14" s="7">
        <v>4.92</v>
      </c>
      <c r="O14" s="7">
        <v>7.55</v>
      </c>
      <c r="P14" s="8">
        <f>1/M14</f>
        <v>0.66666666666666663</v>
      </c>
      <c r="Q14" s="8">
        <f t="shared" si="0"/>
        <v>0.2032520325203252</v>
      </c>
      <c r="R14" s="9">
        <f t="shared" si="1"/>
        <v>2.2032520325203251</v>
      </c>
      <c r="S14" s="6">
        <v>1</v>
      </c>
    </row>
    <row r="15" spans="8:19" x14ac:dyDescent="0.3">
      <c r="H15" s="5">
        <v>44778</v>
      </c>
      <c r="I15" s="6" t="s">
        <v>3</v>
      </c>
      <c r="J15" s="6" t="s">
        <v>4</v>
      </c>
      <c r="K15" s="6">
        <v>0</v>
      </c>
      <c r="L15" s="6">
        <v>2</v>
      </c>
      <c r="M15" s="7">
        <v>4.55</v>
      </c>
      <c r="N15" s="7">
        <v>3.72</v>
      </c>
      <c r="O15" s="7">
        <v>1.96</v>
      </c>
      <c r="P15" s="8">
        <f>1/O15</f>
        <v>0.51020408163265307</v>
      </c>
      <c r="Q15" s="8">
        <f t="shared" si="0"/>
        <v>0.26881720430107525</v>
      </c>
      <c r="R15" s="9">
        <f t="shared" si="1"/>
        <v>1.7994294491990346</v>
      </c>
      <c r="S15" s="6">
        <v>3</v>
      </c>
    </row>
    <row r="16" spans="8:19" x14ac:dyDescent="0.3">
      <c r="H16" s="5">
        <v>44793</v>
      </c>
      <c r="I16" s="6" t="s">
        <v>7</v>
      </c>
      <c r="J16" s="6" t="s">
        <v>4</v>
      </c>
      <c r="K16" s="6">
        <v>0</v>
      </c>
      <c r="L16" s="6">
        <v>3</v>
      </c>
      <c r="M16" s="7">
        <v>7.4</v>
      </c>
      <c r="N16" s="7">
        <v>4.9000000000000004</v>
      </c>
      <c r="O16" s="7">
        <v>1.52</v>
      </c>
      <c r="P16" s="8">
        <f t="shared" ref="P16:P24" si="2">1/O16</f>
        <v>0.65789473684210531</v>
      </c>
      <c r="Q16" s="8">
        <f t="shared" si="0"/>
        <v>0.2040816326530612</v>
      </c>
      <c r="R16" s="9">
        <f t="shared" si="1"/>
        <v>2.1777658431793769</v>
      </c>
      <c r="S16" s="6">
        <v>3</v>
      </c>
    </row>
    <row r="17" spans="8:19" x14ac:dyDescent="0.3">
      <c r="H17" s="5">
        <v>44808</v>
      </c>
      <c r="I17" s="6" t="s">
        <v>18</v>
      </c>
      <c r="J17" s="6" t="s">
        <v>4</v>
      </c>
      <c r="K17" s="6">
        <v>3</v>
      </c>
      <c r="L17" s="6">
        <v>1</v>
      </c>
      <c r="M17" s="7">
        <v>2.77</v>
      </c>
      <c r="N17" s="7">
        <v>3.65</v>
      </c>
      <c r="O17" s="7">
        <v>2.75</v>
      </c>
      <c r="P17" s="8">
        <f t="shared" si="2"/>
        <v>0.36363636363636365</v>
      </c>
      <c r="Q17" s="8">
        <f t="shared" si="0"/>
        <v>0.27397260273972601</v>
      </c>
      <c r="R17" s="9">
        <f t="shared" si="1"/>
        <v>1.3648816936488168</v>
      </c>
      <c r="S17" s="6">
        <v>0</v>
      </c>
    </row>
    <row r="18" spans="8:19" x14ac:dyDescent="0.3">
      <c r="H18" s="5">
        <v>44822</v>
      </c>
      <c r="I18" s="6" t="s">
        <v>17</v>
      </c>
      <c r="J18" s="6" t="s">
        <v>4</v>
      </c>
      <c r="K18" s="6">
        <v>0</v>
      </c>
      <c r="L18" s="6">
        <v>3</v>
      </c>
      <c r="M18" s="7">
        <v>4.4800000000000004</v>
      </c>
      <c r="N18" s="7">
        <v>3.95</v>
      </c>
      <c r="O18" s="7">
        <v>1.91</v>
      </c>
      <c r="P18" s="8">
        <f t="shared" si="2"/>
        <v>0.52356020942408377</v>
      </c>
      <c r="Q18" s="8">
        <f t="shared" si="0"/>
        <v>0.25316455696202528</v>
      </c>
      <c r="R18" s="9">
        <f t="shared" si="1"/>
        <v>1.8238451852342767</v>
      </c>
      <c r="S18" s="6">
        <v>3</v>
      </c>
    </row>
    <row r="19" spans="8:19" x14ac:dyDescent="0.3">
      <c r="H19" s="5">
        <v>44850</v>
      </c>
      <c r="I19" s="6" t="s">
        <v>9</v>
      </c>
      <c r="J19" s="6" t="s">
        <v>4</v>
      </c>
      <c r="K19" s="6">
        <v>0</v>
      </c>
      <c r="L19" s="6">
        <v>1</v>
      </c>
      <c r="M19" s="7">
        <v>5.99</v>
      </c>
      <c r="N19" s="7">
        <v>4.55</v>
      </c>
      <c r="O19" s="7">
        <v>1.63</v>
      </c>
      <c r="P19" s="8">
        <f t="shared" si="2"/>
        <v>0.61349693251533743</v>
      </c>
      <c r="Q19" s="8">
        <f t="shared" si="0"/>
        <v>0.21978021978021978</v>
      </c>
      <c r="R19" s="9">
        <f t="shared" si="1"/>
        <v>2.0602710173262322</v>
      </c>
      <c r="S19" s="6">
        <v>3</v>
      </c>
    </row>
    <row r="20" spans="8:19" x14ac:dyDescent="0.3">
      <c r="H20" s="5">
        <v>44857</v>
      </c>
      <c r="I20" s="6" t="s">
        <v>14</v>
      </c>
      <c r="J20" s="6" t="s">
        <v>4</v>
      </c>
      <c r="K20" s="6">
        <v>1</v>
      </c>
      <c r="L20" s="6">
        <v>1</v>
      </c>
      <c r="M20" s="7">
        <v>6.02</v>
      </c>
      <c r="N20" s="7">
        <v>4.5199999999999996</v>
      </c>
      <c r="O20" s="7">
        <v>1.65</v>
      </c>
      <c r="P20" s="8">
        <f t="shared" si="2"/>
        <v>0.60606060606060608</v>
      </c>
      <c r="Q20" s="8">
        <f t="shared" si="0"/>
        <v>0.22123893805309736</v>
      </c>
      <c r="R20" s="9">
        <f t="shared" si="1"/>
        <v>2.0394207562349158</v>
      </c>
      <c r="S20" s="6">
        <v>1</v>
      </c>
    </row>
    <row r="21" spans="8:19" x14ac:dyDescent="0.3">
      <c r="H21" s="5">
        <v>44871</v>
      </c>
      <c r="I21" s="6" t="s">
        <v>15</v>
      </c>
      <c r="J21" s="6" t="s">
        <v>4</v>
      </c>
      <c r="K21" s="6">
        <v>0</v>
      </c>
      <c r="L21" s="6">
        <v>1</v>
      </c>
      <c r="M21" s="7">
        <v>2.81</v>
      </c>
      <c r="N21" s="7">
        <v>3.5</v>
      </c>
      <c r="O21" s="7">
        <v>2.8</v>
      </c>
      <c r="P21" s="8">
        <f t="shared" si="2"/>
        <v>0.35714285714285715</v>
      </c>
      <c r="Q21" s="8">
        <f t="shared" si="0"/>
        <v>0.2857142857142857</v>
      </c>
      <c r="R21" s="9">
        <f t="shared" si="1"/>
        <v>1.3571428571428572</v>
      </c>
      <c r="S21" s="6">
        <v>3</v>
      </c>
    </row>
    <row r="22" spans="8:19" x14ac:dyDescent="0.3">
      <c r="H22" s="5">
        <v>44877</v>
      </c>
      <c r="I22" s="6" t="s">
        <v>10</v>
      </c>
      <c r="J22" s="6" t="s">
        <v>4</v>
      </c>
      <c r="K22" s="6">
        <v>0</v>
      </c>
      <c r="L22" s="6">
        <v>2</v>
      </c>
      <c r="M22" s="7">
        <v>6.2</v>
      </c>
      <c r="N22" s="7">
        <v>4.4000000000000004</v>
      </c>
      <c r="O22" s="7">
        <v>1.64</v>
      </c>
      <c r="P22" s="8">
        <f t="shared" si="2"/>
        <v>0.6097560975609756</v>
      </c>
      <c r="Q22" s="8">
        <f t="shared" si="0"/>
        <v>0.22727272727272727</v>
      </c>
      <c r="R22" s="9">
        <f t="shared" si="1"/>
        <v>2.0565410199556537</v>
      </c>
      <c r="S22" s="6">
        <v>3</v>
      </c>
    </row>
    <row r="23" spans="8:19" x14ac:dyDescent="0.3">
      <c r="H23" s="5">
        <v>44926</v>
      </c>
      <c r="I23" s="6" t="s">
        <v>19</v>
      </c>
      <c r="J23" s="6" t="s">
        <v>4</v>
      </c>
      <c r="K23" s="6">
        <v>2</v>
      </c>
      <c r="L23" s="6">
        <v>4</v>
      </c>
      <c r="M23" s="7">
        <v>3.7</v>
      </c>
      <c r="N23" s="7">
        <v>3.65</v>
      </c>
      <c r="O23" s="7">
        <v>2.2000000000000002</v>
      </c>
      <c r="P23" s="8">
        <f t="shared" si="2"/>
        <v>0.45454545454545453</v>
      </c>
      <c r="Q23" s="8">
        <f t="shared" si="0"/>
        <v>0.27397260273972601</v>
      </c>
      <c r="R23" s="9">
        <f t="shared" si="1"/>
        <v>1.6376089663760895</v>
      </c>
      <c r="S23" s="6">
        <v>3</v>
      </c>
    </row>
    <row r="24" spans="8:19" x14ac:dyDescent="0.3">
      <c r="H24" s="5">
        <v>44941</v>
      </c>
      <c r="I24" s="6" t="s">
        <v>13</v>
      </c>
      <c r="J24" s="6" t="s">
        <v>4</v>
      </c>
      <c r="K24" s="6">
        <v>0</v>
      </c>
      <c r="L24" s="6">
        <v>2</v>
      </c>
      <c r="M24" s="7">
        <v>3.4</v>
      </c>
      <c r="N24" s="7">
        <v>3.7</v>
      </c>
      <c r="O24" s="7">
        <v>2.2999999999999998</v>
      </c>
      <c r="P24" s="8">
        <f t="shared" si="2"/>
        <v>0.43478260869565222</v>
      </c>
      <c r="Q24" s="8">
        <f t="shared" si="0"/>
        <v>0.27027027027027023</v>
      </c>
      <c r="R24" s="9">
        <f t="shared" si="1"/>
        <v>1.5746180963572267</v>
      </c>
      <c r="S24" s="6">
        <v>3</v>
      </c>
    </row>
    <row r="25" spans="8:19" x14ac:dyDescent="0.3">
      <c r="H25" s="10"/>
      <c r="I25" s="10"/>
      <c r="J25" s="10"/>
      <c r="K25" s="10"/>
      <c r="L25" s="10"/>
      <c r="M25" s="10"/>
      <c r="N25" s="10"/>
      <c r="O25" s="10"/>
      <c r="P25" s="11" t="s">
        <v>22</v>
      </c>
      <c r="Q25" s="11"/>
      <c r="R25" s="12">
        <f>SUM(R5:R24)</f>
        <v>38.026045420983124</v>
      </c>
      <c r="S25" s="11">
        <f>SUM(S5:S24)</f>
        <v>51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99631-1332-48C4-86EE-B0EEAF0A8AF3}">
  <dimension ref="A1"/>
  <sheetViews>
    <sheetView workbookViewId="0">
      <selection activeCell="C27" sqref="C27"/>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A1A47-50E5-4876-B46D-DCD538C75498}">
  <dimension ref="L2:L16"/>
  <sheetViews>
    <sheetView workbookViewId="0">
      <selection activeCell="X18" sqref="X18"/>
    </sheetView>
  </sheetViews>
  <sheetFormatPr defaultRowHeight="14.4" x14ac:dyDescent="0.3"/>
  <sheetData>
    <row r="2" spans="12:12" ht="21" x14ac:dyDescent="0.4">
      <c r="L2" s="13" t="s">
        <v>31</v>
      </c>
    </row>
    <row r="16" spans="12:12" ht="21" x14ac:dyDescent="0.4">
      <c r="L16" s="13" t="s">
        <v>32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F50F0-D20A-4567-AC47-ECC8AF10F078}">
  <dimension ref="A1"/>
  <sheetViews>
    <sheetView tabSelected="1" workbookViewId="0">
      <selection activeCell="I26" sqref="I26"/>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Preseason forecasts</vt:lpstr>
      <vt:lpstr>Expected vs Actual points</vt:lpstr>
      <vt:lpstr>Arsenal vs Man City (Feb 2023)</vt:lpstr>
      <vt:lpstr>Expected Goals</vt:lpstr>
      <vt:lpstr>Conclusion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 Hanson</dc:creator>
  <cp:lastModifiedBy>Ben Hanson</cp:lastModifiedBy>
  <dcterms:created xsi:type="dcterms:W3CDTF">2026-05-11T22:02:23Z</dcterms:created>
  <dcterms:modified xsi:type="dcterms:W3CDTF">2026-05-23T20:11:33Z</dcterms:modified>
</cp:coreProperties>
</file>